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0" borderId="0" pivotButton="0" quotePrefix="0" xfId="0"/>
    <xf numFmtId="1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1" customWidth="1" min="12" max="12"/>
  </cols>
  <sheetData>
    <row r="1">
      <c r="A1" s="1" t="inlineStr">
        <is>
          <t>Responden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Skor SUS</t>
        </is>
      </c>
    </row>
    <row r="2">
      <c r="A2" s="2" t="inlineStr">
        <is>
          <t>R01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>
        <f>IF(COUNT(B2:K2)=10,((B2-1)+(5-C2)+(D2-1)+(5-E2)+(F2-1)+(5-G2)+(H2-1)+(5-I2)+(J2-1)+(5-K2))*2.5,"")</f>
        <v/>
      </c>
    </row>
    <row r="3">
      <c r="A3" s="2" t="inlineStr">
        <is>
          <t>R02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>
        <f>IF(COUNT(B3:K3)=10,((B3-1)+(5-C3)+(D3-1)+(5-E3)+(F3-1)+(5-G3)+(H3-1)+(5-I3)+(J3-1)+(5-K3))*2.5,"")</f>
        <v/>
      </c>
    </row>
    <row r="4">
      <c r="A4" s="2" t="inlineStr">
        <is>
          <t>R03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>
        <f>IF(COUNT(B4:K4)=10,((B4-1)+(5-C4)+(D4-1)+(5-E4)+(F4-1)+(5-G4)+(H4-1)+(5-I4)+(J4-1)+(5-K4))*2.5,"")</f>
        <v/>
      </c>
    </row>
    <row r="5">
      <c r="A5" s="2" t="inlineStr">
        <is>
          <t>R04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>
        <f>IF(COUNT(B5:K5)=10,((B5-1)+(5-C5)+(D5-1)+(5-E5)+(F5-1)+(5-G5)+(H5-1)+(5-I5)+(J5-1)+(5-K5))*2.5,"")</f>
        <v/>
      </c>
    </row>
    <row r="6">
      <c r="A6" s="2" t="inlineStr">
        <is>
          <t>R05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>
        <f>IF(COUNT(B6:K6)=10,((B6-1)+(5-C6)+(D6-1)+(5-E6)+(F6-1)+(5-G6)+(H6-1)+(5-I6)+(J6-1)+(5-K6))*2.5,"")</f>
        <v/>
      </c>
    </row>
    <row r="7">
      <c r="A7" s="2" t="inlineStr">
        <is>
          <t>R06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>
        <f>IF(COUNT(B7:K7)=10,((B7-1)+(5-C7)+(D7-1)+(5-E7)+(F7-1)+(5-G7)+(H7-1)+(5-I7)+(J7-1)+(5-K7))*2.5,"")</f>
        <v/>
      </c>
    </row>
    <row r="8">
      <c r="A8" s="2" t="inlineStr">
        <is>
          <t>R07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>
        <f>IF(COUNT(B8:K8)=10,((B8-1)+(5-C8)+(D8-1)+(5-E8)+(F8-1)+(5-G8)+(H8-1)+(5-I8)+(J8-1)+(5-K8))*2.5,"")</f>
        <v/>
      </c>
    </row>
    <row r="9">
      <c r="A9" s="2" t="inlineStr">
        <is>
          <t>R08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>
        <f>IF(COUNT(B9:K9)=10,((B9-1)+(5-C9)+(D9-1)+(5-E9)+(F9-1)+(5-G9)+(H9-1)+(5-I9)+(J9-1)+(5-K9))*2.5,"")</f>
        <v/>
      </c>
    </row>
    <row r="10">
      <c r="A10" s="2" t="inlineStr">
        <is>
          <t>R09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>
        <f>IF(COUNT(B10:K10)=10,((B10-1)+(5-C10)+(D10-1)+(5-E10)+(F10-1)+(5-G10)+(H10-1)+(5-I10)+(J10-1)+(5-K10))*2.5,"")</f>
        <v/>
      </c>
    </row>
    <row r="11">
      <c r="A11" s="2" t="inlineStr">
        <is>
          <t>R10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>
        <f>IF(COUNT(B11:K11)=10,((B11-1)+(5-C11)+(D11-1)+(5-E11)+(F11-1)+(5-G11)+(H11-1)+(5-I11)+(J11-1)+(5-K11))*2.5,"")</f>
        <v/>
      </c>
    </row>
    <row r="12">
      <c r="A12" s="2" t="inlineStr">
        <is>
          <t>R11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>
        <f>IF(COUNT(B12:K12)=10,((B12-1)+(5-C12)+(D12-1)+(5-E12)+(F12-1)+(5-G12)+(H12-1)+(5-I12)+(J12-1)+(5-K12))*2.5,"")</f>
        <v/>
      </c>
    </row>
    <row r="13">
      <c r="A13" s="2" t="inlineStr">
        <is>
          <t>R12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>
        <f>IF(COUNT(B13:K13)=10,((B13-1)+(5-C13)+(D13-1)+(5-E13)+(F13-1)+(5-G13)+(H13-1)+(5-I13)+(J13-1)+(5-K13))*2.5,"")</f>
        <v/>
      </c>
    </row>
    <row r="14">
      <c r="A14" s="2" t="inlineStr">
        <is>
          <t>R13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>
        <f>IF(COUNT(B14:K14)=10,((B14-1)+(5-C14)+(D14-1)+(5-E14)+(F14-1)+(5-G14)+(H14-1)+(5-I14)+(J14-1)+(5-K14))*2.5,"")</f>
        <v/>
      </c>
    </row>
    <row r="15">
      <c r="A15" s="2" t="inlineStr">
        <is>
          <t>R14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>
        <f>IF(COUNT(B15:K15)=10,((B15-1)+(5-C15)+(D15-1)+(5-E15)+(F15-1)+(5-G15)+(H15-1)+(5-I15)+(J15-1)+(5-K15))*2.5,"")</f>
        <v/>
      </c>
    </row>
    <row r="16">
      <c r="A16" s="2" t="inlineStr">
        <is>
          <t>R15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>
        <f>IF(COUNT(B16:K16)=10,((B16-1)+(5-C16)+(D16-1)+(5-E16)+(F16-1)+(5-G16)+(H16-1)+(5-I16)+(J16-1)+(5-K16))*2.5,"")</f>
        <v/>
      </c>
    </row>
    <row r="18">
      <c r="A18" s="5" t="inlineStr">
        <is>
          <t>Jumlah responden terisi</t>
        </is>
      </c>
      <c r="F18" s="6">
        <f>COUNT(L2:L16)</f>
        <v/>
      </c>
    </row>
    <row r="19">
      <c r="A19" s="5" t="inlineStr">
        <is>
          <t>Rata-rata skor SUS</t>
        </is>
      </c>
      <c r="F19" s="7">
        <f>IF(COUNT(L2:L16)=0,"",AVERAGE(L2:L16))</f>
        <v/>
      </c>
    </row>
    <row r="20">
      <c r="A20" s="5" t="inlineStr">
        <is>
          <t>Simpangan baku</t>
        </is>
      </c>
      <c r="F20" s="7">
        <f>IF(COUNT(L2:L16)&lt;2,"",STDEV(L2:L16))</f>
        <v/>
      </c>
    </row>
    <row r="21">
      <c r="A21" s="5" t="inlineStr">
        <is>
          <t>Skor terendah</t>
        </is>
      </c>
      <c r="F21" s="7">
        <f>IF(COUNT(L2:L16)=0,"",MIN(L2:L16))</f>
        <v/>
      </c>
    </row>
    <row r="22">
      <c r="A22" s="5" t="inlineStr">
        <is>
          <t>Skor tertinggi</t>
        </is>
      </c>
      <c r="F22" s="7">
        <f>IF(COUNT(L2:L16)=0,"",MAX(L2:L16))</f>
        <v/>
      </c>
    </row>
    <row r="24" ht="32" customHeight="1">
      <c r="A24" s="8" t="inlineStr">
        <is>
          <t>Petunjuk: isi jawaban tiap responden (angka 1 sampai 5) pada kolom P1 sampai P10. Skor SUS terhitung otomatis setelah kesepuluh jawaban terisi.</t>
        </is>
      </c>
    </row>
    <row r="25" ht="32" customHeight="1">
      <c r="A25" s="8" t="inlineStr">
        <is>
          <t>Rumus per responden: ((P1-1)+(5-P2)+(P3-1)+(5-P4)+(P5-1)+(5-P6)+(P7-1)+(5-P8)+(P9-1)+(5-P10)) x 2,5 (Brooke, 1996).</t>
        </is>
      </c>
    </row>
  </sheetData>
  <mergeCells count="7">
    <mergeCell ref="A21:E21"/>
    <mergeCell ref="A24:L24"/>
    <mergeCell ref="A20:E20"/>
    <mergeCell ref="A25:L25"/>
    <mergeCell ref="A19:E19"/>
    <mergeCell ref="A22:E22"/>
    <mergeCell ref="A18:E18"/>
  </mergeCells>
  <dataValidations count="1">
    <dataValidation sqref="B2:K16" showDropDown="0" showInputMessage="0" showErrorMessage="1" allowBlank="1" errorTitle="Nilai tidak valid" error="Isi angka 1 sampai 5.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2026-09-21T17:31:26Z</dcterms:created>
  <dcterms:modified xmlns:dcterms="http://purl.org/dc/terms/" xmlns:xsi="http://www.w3.org/2001/XMLSchema-instance" xsi:type="dcterms:W3CDTF">2026-09-21T17:31:26Z</dcterms:modified>
</cp:coreProperties>
</file>